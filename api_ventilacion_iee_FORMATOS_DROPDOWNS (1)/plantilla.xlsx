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8d2b29d2c883eaf/000 Instituto Entalpico/00 Web/00 Contenido/Tool Box/10 Ventilacion Generica/"/>
    </mc:Choice>
  </mc:AlternateContent>
  <xr:revisionPtr revIDLastSave="274" documentId="11_AD4D2F04E46CFB4ACB3E202C1D90E688683EDF1E" xr6:coauthVersionLast="47" xr6:coauthVersionMax="47" xr10:uidLastSave="{979DB2A5-12DB-46E9-BA71-5974B18A0522}"/>
  <bookViews>
    <workbookView xWindow="-120" yWindow="-120" windowWidth="29040" windowHeight="15720" activeTab="1" xr2:uid="{00000000-000D-0000-FFFF-FFFF00000000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F19" i="1"/>
  <c r="E19" i="1"/>
  <c r="D19" i="1"/>
  <c r="F14" i="1"/>
  <c r="F13" i="1"/>
  <c r="E14" i="1"/>
  <c r="E13" i="1"/>
  <c r="D14" i="1"/>
  <c r="D13" i="1"/>
</calcChain>
</file>

<file path=xl/sharedStrings.xml><?xml version="1.0" encoding="utf-8"?>
<sst xmlns="http://schemas.openxmlformats.org/spreadsheetml/2006/main" count="139" uniqueCount="76">
  <si>
    <t>xxxx</t>
  </si>
  <si>
    <t>Proyecto</t>
  </si>
  <si>
    <t>ODA</t>
  </si>
  <si>
    <t>ODA 1</t>
  </si>
  <si>
    <t>ODA 2</t>
  </si>
  <si>
    <t>ODA 3</t>
  </si>
  <si>
    <t>HR%</t>
  </si>
  <si>
    <t>Tª Ext.(ºC)</t>
  </si>
  <si>
    <t>IDA</t>
  </si>
  <si>
    <t>IDA 1</t>
  </si>
  <si>
    <t>IDA 2</t>
  </si>
  <si>
    <t>IDA 3</t>
  </si>
  <si>
    <t>IDA 4</t>
  </si>
  <si>
    <t>Tª Int.(ºC)</t>
  </si>
  <si>
    <t>Grupo</t>
  </si>
  <si>
    <t>MET</t>
  </si>
  <si>
    <t>Personas</t>
  </si>
  <si>
    <r>
      <t>Area 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</si>
  <si>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Edificio</t>
  </si>
  <si>
    <t>No poco Contaminate</t>
  </si>
  <si>
    <t>Poco Contaminante</t>
  </si>
  <si>
    <t>Sala 01</t>
  </si>
  <si>
    <t>Grupo 01</t>
  </si>
  <si>
    <r>
      <t>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Exterior</t>
    </r>
  </si>
  <si>
    <t>ppm</t>
  </si>
  <si>
    <t>Grupo 02</t>
  </si>
  <si>
    <r>
      <t>Met. Persona 
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/h)</t>
    </r>
  </si>
  <si>
    <r>
      <t>Met. Olfativo 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/h)
Superficie / Personas / Total</t>
    </r>
  </si>
  <si>
    <r>
      <t>Met. CO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
(m</t>
    </r>
    <r>
      <rPr>
        <b/>
        <vertAlign val="super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  <scheme val="minor"/>
      </rPr>
      <t>/h)</t>
    </r>
  </si>
  <si>
    <r>
      <rPr>
        <b/>
        <sz val="12"/>
        <color theme="1"/>
        <rFont val="Aptos Narrow"/>
        <family val="2"/>
      </rPr>
      <t>ε</t>
    </r>
    <r>
      <rPr>
        <b/>
        <sz val="12"/>
        <color theme="1"/>
        <rFont val="Calibri"/>
        <family val="2"/>
      </rPr>
      <t>v</t>
    </r>
  </si>
  <si>
    <t>{ODA}</t>
  </si>
  <si>
    <t>{CO2 Ext}</t>
  </si>
  <si>
    <t>{EdifCont}</t>
  </si>
  <si>
    <t>{TExt}</t>
  </si>
  <si>
    <t>{HRExt}</t>
  </si>
  <si>
    <t>{Sala01}</t>
  </si>
  <si>
    <t>{Area01}</t>
  </si>
  <si>
    <t>{IDA01}</t>
  </si>
  <si>
    <t>{TInt01}</t>
  </si>
  <si>
    <t>{HR01}</t>
  </si>
  <si>
    <t>{Proyecto}</t>
  </si>
  <si>
    <t>{Grupo11}</t>
  </si>
  <si>
    <t>{Grupo12}</t>
  </si>
  <si>
    <t>{Per11}</t>
  </si>
  <si>
    <t>{Met11}</t>
  </si>
  <si>
    <t>{MPersona11}</t>
  </si>
  <si>
    <t>{Per12}</t>
  </si>
  <si>
    <t>{Met12}</t>
  </si>
  <si>
    <t>{MPersona12}</t>
  </si>
  <si>
    <t>{MCO211}</t>
  </si>
  <si>
    <t>{MOlfPer11}</t>
  </si>
  <si>
    <t>{MOlfArea11}</t>
  </si>
  <si>
    <t>{MCO212}</t>
  </si>
  <si>
    <t>{MOlfArea12}</t>
  </si>
  <si>
    <t>{MOlfPer12}</t>
  </si>
  <si>
    <t>Sala 02</t>
  </si>
  <si>
    <t>{Grupo21}</t>
  </si>
  <si>
    <t>{Per21}</t>
  </si>
  <si>
    <t>{Met21}</t>
  </si>
  <si>
    <t>{MPersona21}</t>
  </si>
  <si>
    <t>{MCO221}</t>
  </si>
  <si>
    <t>{MOlfArea21}</t>
  </si>
  <si>
    <t>{MOlfPer21}</t>
  </si>
  <si>
    <t>{Grupo22}</t>
  </si>
  <si>
    <t>{Per22}</t>
  </si>
  <si>
    <t>{Met22}</t>
  </si>
  <si>
    <t>{MPersona22}</t>
  </si>
  <si>
    <t>{MCO222}</t>
  </si>
  <si>
    <t>{MOlfArea22}</t>
  </si>
  <si>
    <t>{MOlfPer22}</t>
  </si>
  <si>
    <t>{Sala02}</t>
  </si>
  <si>
    <t>{Area02}</t>
  </si>
  <si>
    <t>{IDA02}</t>
  </si>
  <si>
    <t>{TInt02}</t>
  </si>
  <si>
    <t>{HR02}</t>
  </si>
  <si>
    <t>{EfVent}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</si>
</sst>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2"/>
      <color theme="1"/>
      <name val="Aptos Narrow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2"/>
  <sheetViews>
    <sheetView zoomScaleNormal="100" zoomScaleSheetLayoutView="160" workbookViewId="0">
      <selection activeCell="B29" sqref="B29"/>
    </sheetView>
  </sheetViews>
  <sheetFormatPr baseColWidth="10" defaultColWidth="9.140625" defaultRowHeight="15.75" x14ac:dyDescent="0.25"/>
  <cols>
    <col min="1" max="14" width="20.7109375" style="5" customWidth="1"/>
    <col min="15" max="24" width="13.28515625" style="5" customWidth="1"/>
    <col min="25" max="16384" width="9.140625" style="5"/>
  </cols>
  <sheetData>
    <row r="3" spans="1:12" x14ac:dyDescent="0.25">
      <c r="A3" s="1" t="s">
        <v>1</v>
      </c>
      <c r="B3" s="12"/>
      <c r="C3" s="12"/>
      <c r="D3" s="12"/>
      <c r="E3" s="12"/>
      <c r="F3" s="12"/>
      <c r="J3" s="1" t="s">
        <v>2</v>
      </c>
      <c r="K3" s="1" t="s">
        <v>8</v>
      </c>
      <c r="L3" s="2" t="s">
        <v>18</v>
      </c>
    </row>
    <row r="4" spans="1:12" x14ac:dyDescent="0.25">
      <c r="A4" s="2"/>
      <c r="J4" s="2" t="s">
        <v>3</v>
      </c>
      <c r="K4" s="2" t="s">
        <v>9</v>
      </c>
      <c r="L4" s="2" t="s">
        <v>20</v>
      </c>
    </row>
    <row r="5" spans="1:12" x14ac:dyDescent="0.25">
      <c r="A5" s="1" t="s">
        <v>2</v>
      </c>
      <c r="B5" s="12" t="s">
        <v>4</v>
      </c>
      <c r="C5" s="12"/>
      <c r="D5" s="1" t="s">
        <v>7</v>
      </c>
      <c r="E5" s="6"/>
      <c r="J5" s="2" t="s">
        <v>4</v>
      </c>
      <c r="K5" s="2" t="s">
        <v>10</v>
      </c>
      <c r="L5" s="2" t="s">
        <v>19</v>
      </c>
    </row>
    <row r="6" spans="1:12" ht="18.75" x14ac:dyDescent="0.25">
      <c r="A6" s="1" t="s">
        <v>23</v>
      </c>
      <c r="B6" s="3">
        <v>400</v>
      </c>
      <c r="C6" s="7" t="s">
        <v>24</v>
      </c>
      <c r="D6" s="1" t="s">
        <v>6</v>
      </c>
      <c r="E6" s="6"/>
      <c r="J6" s="2" t="s">
        <v>5</v>
      </c>
      <c r="K6" s="2" t="s">
        <v>11</v>
      </c>
      <c r="L6" s="2"/>
    </row>
    <row r="7" spans="1:12" x14ac:dyDescent="0.25">
      <c r="A7" s="1" t="s">
        <v>18</v>
      </c>
      <c r="B7" s="12" t="s">
        <v>20</v>
      </c>
      <c r="C7" s="12"/>
      <c r="J7" s="2"/>
      <c r="K7" s="2" t="s">
        <v>12</v>
      </c>
      <c r="L7" s="2"/>
    </row>
    <row r="8" spans="1:12" x14ac:dyDescent="0.25">
      <c r="A8" s="11" t="s">
        <v>29</v>
      </c>
      <c r="B8" s="3">
        <v>1</v>
      </c>
    </row>
    <row r="9" spans="1:12" x14ac:dyDescent="0.25">
      <c r="A9" s="2"/>
    </row>
    <row r="10" spans="1:12" ht="18" x14ac:dyDescent="0.25">
      <c r="A10" s="1" t="s">
        <v>21</v>
      </c>
      <c r="B10" s="1" t="s">
        <v>17</v>
      </c>
      <c r="C10" s="1" t="s">
        <v>8</v>
      </c>
      <c r="D10" s="1" t="s">
        <v>13</v>
      </c>
      <c r="E10" s="1" t="s">
        <v>6</v>
      </c>
    </row>
    <row r="11" spans="1:12" x14ac:dyDescent="0.25">
      <c r="A11" s="3"/>
      <c r="B11" s="3">
        <v>100</v>
      </c>
      <c r="C11" s="8" t="s">
        <v>11</v>
      </c>
      <c r="D11" s="6"/>
      <c r="E11" s="6"/>
    </row>
    <row r="12" spans="1:12" ht="36.75" x14ac:dyDescent="0.25">
      <c r="A12" s="1" t="s">
        <v>14</v>
      </c>
      <c r="B12" s="1" t="s">
        <v>16</v>
      </c>
      <c r="C12" s="1" t="s">
        <v>15</v>
      </c>
      <c r="D12" s="4" t="s">
        <v>26</v>
      </c>
      <c r="E12" s="4" t="s">
        <v>28</v>
      </c>
      <c r="F12" s="13" t="s">
        <v>27</v>
      </c>
      <c r="G12" s="13"/>
      <c r="H12" s="13"/>
    </row>
    <row r="13" spans="1:12" x14ac:dyDescent="0.25">
      <c r="A13" s="3" t="s">
        <v>22</v>
      </c>
      <c r="B13" s="3">
        <v>10</v>
      </c>
      <c r="C13" s="3">
        <v>1.2</v>
      </c>
      <c r="D13" s="10">
        <f>IF(C11="IDA 1",(B13*(C13/1.2)*72),IF(C11="IDA 2",(B13*(C13/1.2)*45),IF(C11="IDA 3",(B13*(C13/1.2)*28.8),IF(C11="IDA 4",(B13*(C13/1.2)*18),"Error"))))</f>
        <v>288</v>
      </c>
      <c r="E13" s="10">
        <f>IF(C11="IDA 1",3.6*B13*(C13/1.2)*((0.0042*C13)/(350))*1000000,IF(C11="IDA 2",3.6*B13*(C13/1.2)*((0.0042*C13)/(500))*1000000,IF(C11="IDA 3",3.6*B13*(C13/1.2)*((0.0042*C13)/(800))*1000000,IF(C11="IDA 3",3.6*B13*(C13/1.2)*((0.0042*C13)/(1200))*1000000,"Error"))))</f>
        <v>226.79999999999995</v>
      </c>
      <c r="F13" s="9">
        <f>IF(C11="IDA 1",(3.6*B11*10*(0.1/0.8)*(1/B8)),IF(C11="IDA 2",(3.6*B11*10*(0.1/1.2)*(1/B8)),IF(C11="IDA 3",(3.6*B11*10*(0.1/2)*(1/B8)),IF(C11="IDA 4",(3.6*B11*10*(0.1/3)*(1/B8)),"Error"))))</f>
        <v>180</v>
      </c>
      <c r="G13" s="9"/>
      <c r="H13" s="9"/>
    </row>
    <row r="14" spans="1:12" x14ac:dyDescent="0.25">
      <c r="A14" s="3" t="s">
        <v>25</v>
      </c>
      <c r="B14" s="3">
        <v>15</v>
      </c>
      <c r="C14" s="3">
        <v>1.5</v>
      </c>
      <c r="D14" s="10">
        <f>IF(C11="IDA 1",(B14*(C14/1.2)*72),IF(C11="IDA 2",(B14*(C14/1.2)*45),IF(C11="IDA 3",(B14*(C14/1.2)*28.8),IF(C11="IDA 4",(B14*(C14/1.2)*18),"Error"))))</f>
        <v>540</v>
      </c>
      <c r="E14" s="10">
        <f>IF(C11="IDA 1",3.6*B14*(C14/1.2)*((0.0042*C14)/(350))*1000000,IF(C11="IDA 2",3.6*B14*(C14/1.2)*((0.0042*C14)/(500))*1000000,IF(C11="IDA 3",3.6*B14*(C14/1.2)*((0.0042*C14)/(800))*1000000,IF(C11="IDA 3",3.6*B14*(C14/1.2)*((0.0042*C14)/(1200))*1000000,"Error"))))</f>
        <v>531.5625</v>
      </c>
      <c r="F14" s="9">
        <f>IF(C11="IDA 1",(3.6*B11*10*(0.1/0.8)*(1/B8)),IF(C11="IDA 2",(3.6*B11*10*(0.1/1.2)*(1/B8)),IF(C11="IDA 3",(3.6*B11*10*(0.1/2)*(1/B8)),IF(C11="IDA 3",(3.6*B11*10*(0.1/3)*(1/B8)),"Error"))))</f>
        <v>180</v>
      </c>
      <c r="G14" s="9"/>
      <c r="H14" s="9"/>
    </row>
    <row r="16" spans="1:12" ht="18" x14ac:dyDescent="0.25">
      <c r="A16" s="1" t="s">
        <v>55</v>
      </c>
      <c r="B16" s="1" t="s">
        <v>17</v>
      </c>
      <c r="C16" s="1" t="s">
        <v>8</v>
      </c>
      <c r="D16" s="1" t="s">
        <v>13</v>
      </c>
      <c r="E16" s="1" t="s">
        <v>6</v>
      </c>
    </row>
    <row r="17" spans="1:8" x14ac:dyDescent="0.25">
      <c r="A17" s="3"/>
      <c r="B17" s="3">
        <v>100</v>
      </c>
      <c r="C17" s="8" t="s">
        <v>11</v>
      </c>
      <c r="D17" s="6"/>
      <c r="E17" s="6"/>
    </row>
    <row r="18" spans="1:8" ht="36.75" x14ac:dyDescent="0.25">
      <c r="A18" s="1" t="s">
        <v>14</v>
      </c>
      <c r="B18" s="1" t="s">
        <v>16</v>
      </c>
      <c r="C18" s="1" t="s">
        <v>15</v>
      </c>
      <c r="D18" s="4" t="s">
        <v>26</v>
      </c>
      <c r="E18" s="4" t="s">
        <v>28</v>
      </c>
      <c r="F18" s="13" t="s">
        <v>27</v>
      </c>
      <c r="G18" s="13"/>
      <c r="H18" s="13"/>
    </row>
    <row r="19" spans="1:8" x14ac:dyDescent="0.25">
      <c r="A19" s="3" t="s">
        <v>22</v>
      </c>
      <c r="B19" s="3">
        <v>10</v>
      </c>
      <c r="C19" s="3">
        <v>1.2</v>
      </c>
      <c r="D19" s="10">
        <f>IF(C17="IDA 1",(B19*(C19/1.2)*72),IF(C17="IDA 2",(B19*(C19/1.2)*45),IF(C17="IDA 3",(B19*(C19/1.2)*28.8),IF(C17="IDA 4",(B19*(C19/1.2)*18),"Error"))))</f>
        <v>288</v>
      </c>
      <c r="E19" s="10">
        <f>IF(C17="IDA 1",3.6*B19*(C19/1.2)*((0.0042*C19)/(350))*1000000,IF(C17="IDA 2",3.6*B19*(C19/1.2)*((0.0042*C19)/(500))*1000000,IF(C17="IDA 3",3.6*B19*(C19/1.2)*((0.0042*C19)/(800))*1000000,IF(C17="IDA 3",3.6*B19*(C19/1.2)*((0.0042*C19)/(1200))*1000000,"Error"))))</f>
        <v>226.79999999999995</v>
      </c>
      <c r="F19" s="9">
        <f>IF(C17="IDA 1",(3.6*B17*10*(0.1/0.8)*(1/B14)),IF(C17="IDA 2",(3.6*B17*10*(0.1/1.2)*(1/B14)),IF(C17="IDA 3",(3.6*B17*10*(0.1/2)*(1/B14)),IF(C17="IDA 4",(3.6*B17*10*(0.1/3)*(1/B14)),"Error"))))</f>
        <v>12</v>
      </c>
      <c r="G19" s="9"/>
      <c r="H19" s="9"/>
    </row>
    <row r="20" spans="1:8" x14ac:dyDescent="0.25">
      <c r="A20" s="3" t="s">
        <v>25</v>
      </c>
      <c r="B20" s="3">
        <v>15</v>
      </c>
      <c r="C20" s="3">
        <v>1.5</v>
      </c>
      <c r="D20" s="10">
        <f>IF(C17="IDA 1",(B20*(C20/1.2)*72),IF(C17="IDA 2",(B20*(C20/1.2)*45),IF(C17="IDA 3",(B20*(C20/1.2)*28.8),IF(C17="IDA 4",(B20*(C20/1.2)*18),"Error"))))</f>
        <v>540</v>
      </c>
      <c r="E20" s="10">
        <f>IF(C17="IDA 1",3.6*B20*(C20/1.2)*((0.0042*C20)/(350))*1000000,IF(C17="IDA 2",3.6*B20*(C20/1.2)*((0.0042*C20)/(500))*1000000,IF(C17="IDA 3",3.6*B20*(C20/1.2)*((0.0042*C20)/(800))*1000000,IF(C17="IDA 3",3.6*B20*(C20/1.2)*((0.0042*C20)/(1200))*1000000,"Error"))))</f>
        <v>531.5625</v>
      </c>
      <c r="F20" s="9">
        <f>IF(C17="IDA 1",(3.6*B17*10*(0.1/0.8)*(1/B14)),IF(C17="IDA 2",(3.6*B17*10*(0.1/1.2)*(1/B14)),IF(C17="IDA 3",(3.6*B17*10*(0.1/2)*(1/B14)),IF(C17="IDA 3",(3.6*B17*10*(0.1/3)*(1/B14)),"Error"))))</f>
        <v>12</v>
      </c>
      <c r="G20" s="9"/>
      <c r="H20" s="9"/>
    </row>
    <row r="52" spans="10:10" x14ac:dyDescent="0.25">
      <c r="J52" s="5" t="s">
        <v>0</v>
      </c>
    </row>
  </sheetData>
  <mergeCells count="5">
    <mergeCell ref="B3:F3"/>
    <mergeCell ref="B5:C5"/>
    <mergeCell ref="B7:C7"/>
    <mergeCell ref="F12:H12"/>
    <mergeCell ref="F18:H18"/>
  </mergeCells>
  <dataValidations disablePrompts="1" count="3">
    <dataValidation type="list" allowBlank="1" showInputMessage="1" showErrorMessage="1" sqref="B5" xr:uid="{280CBDC9-5083-46C3-9A67-6ED6645B1AAC}">
      <formula1>$J$4:$J$6</formula1>
    </dataValidation>
    <dataValidation type="list" allowBlank="1" showInputMessage="1" showErrorMessage="1" sqref="C11 C17" xr:uid="{4A5F5F72-4A32-424D-9C6E-7A12C31A17FD}">
      <formula1>$K$4:$K$7</formula1>
    </dataValidation>
    <dataValidation type="list" allowBlank="1" showInputMessage="1" showErrorMessage="1" sqref="B7:C7" xr:uid="{AC83117D-BCBC-4B6D-A632-62A219F3FF64}">
      <formula1>$L$4:$L$5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27DC-79EF-4F5B-BC88-E4E77C10BA56}">
  <dimension ref="A3:L52"/>
  <sheetViews>
    <sheetView tabSelected="1" zoomScaleNormal="100" zoomScaleSheetLayoutView="160" workbookViewId="0">
      <selection activeCell="B7" sqref="B7:C7"/>
    </sheetView>
  </sheetViews>
  <sheetFormatPr baseColWidth="10" defaultColWidth="9.140625" defaultRowHeight="15.75" x14ac:dyDescent="0.25"/>
  <cols>
    <col min="1" max="14" width="20.7109375" style="5" customWidth="1"/>
    <col min="15" max="24" width="13.28515625" style="5" customWidth="1"/>
    <col min="25" max="16384" width="9.140625" style="5"/>
  </cols>
  <sheetData>
    <row r="3" spans="1:12" x14ac:dyDescent="0.25">
      <c r="A3" s="1" t="s">
        <v>1</v>
      </c>
      <c r="B3" s="12" t="s">
        <v>40</v>
      </c>
      <c r="C3" s="12"/>
      <c r="D3" s="12"/>
      <c r="E3" s="12"/>
      <c r="F3" s="12"/>
      <c r="J3" s="1" t="s">
        <v>2</v>
      </c>
      <c r="K3" s="1" t="s">
        <v>8</v>
      </c>
      <c r="L3" s="2" t="s">
        <v>18</v>
      </c>
    </row>
    <row r="4" spans="1:12" x14ac:dyDescent="0.25">
      <c r="A4" s="2"/>
      <c r="J4" s="2" t="s">
        <v>3</v>
      </c>
      <c r="K4" s="2" t="s">
        <v>9</v>
      </c>
      <c r="L4" s="2" t="s">
        <v>20</v>
      </c>
    </row>
    <row r="5" spans="1:12" x14ac:dyDescent="0.25">
      <c r="A5" s="1" t="s">
        <v>2</v>
      </c>
      <c r="B5" s="12" t="s">
        <v>30</v>
      </c>
      <c r="C5" s="12"/>
      <c r="D5" s="1" t="s">
        <v>7</v>
      </c>
      <c r="E5" s="12" t="s">
        <v>33</v>
      </c>
      <c r="F5" s="12"/>
      <c r="J5" s="2" t="s">
        <v>4</v>
      </c>
      <c r="K5" s="2" t="s">
        <v>10</v>
      </c>
      <c r="L5" s="2" t="s">
        <v>19</v>
      </c>
    </row>
    <row r="6" spans="1:12" ht="18.75" x14ac:dyDescent="0.25">
      <c r="A6" s="1" t="s">
        <v>23</v>
      </c>
      <c r="B6" s="3" t="s">
        <v>31</v>
      </c>
      <c r="C6" s="7" t="s">
        <v>24</v>
      </c>
      <c r="D6" s="1" t="s">
        <v>6</v>
      </c>
      <c r="E6" s="3" t="s">
        <v>34</v>
      </c>
      <c r="J6" s="2" t="s">
        <v>5</v>
      </c>
      <c r="K6" s="2" t="s">
        <v>11</v>
      </c>
      <c r="L6" s="2"/>
    </row>
    <row r="7" spans="1:12" x14ac:dyDescent="0.25">
      <c r="A7" s="1" t="s">
        <v>18</v>
      </c>
      <c r="B7" s="12" t="s">
        <v>32</v>
      </c>
      <c r="C7" s="12"/>
      <c r="J7" s="2"/>
      <c r="K7" s="2" t="s">
        <v>12</v>
      </c>
      <c r="L7" s="2"/>
    </row>
    <row r="8" spans="1:12" x14ac:dyDescent="0.25">
      <c r="A8" s="11" t="s">
        <v>29</v>
      </c>
      <c r="B8" s="3" t="s">
        <v>75</v>
      </c>
    </row>
    <row r="9" spans="1:12" x14ac:dyDescent="0.25">
      <c r="A9" s="2"/>
    </row>
    <row r="10" spans="1:12" ht="18" x14ac:dyDescent="0.25">
      <c r="A10" s="1" t="s">
        <v>21</v>
      </c>
      <c r="B10" s="1" t="s">
        <v>17</v>
      </c>
      <c r="C10" s="1" t="s">
        <v>8</v>
      </c>
      <c r="D10" s="1" t="s">
        <v>13</v>
      </c>
      <c r="E10" s="1" t="s">
        <v>6</v>
      </c>
    </row>
    <row r="11" spans="1:12" x14ac:dyDescent="0.2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12" ht="36.75" x14ac:dyDescent="0.25">
      <c r="A12" s="1" t="s">
        <v>14</v>
      </c>
      <c r="B12" s="1" t="s">
        <v>16</v>
      </c>
      <c r="C12" s="1" t="s">
        <v>15</v>
      </c>
      <c r="D12" s="4" t="s">
        <v>26</v>
      </c>
      <c r="E12" s="4" t="s">
        <v>28</v>
      </c>
      <c r="F12" s="13" t="s">
        <v>27</v>
      </c>
      <c r="G12" s="13"/>
      <c r="H12" s="13"/>
    </row>
    <row r="13" spans="1:12" x14ac:dyDescent="0.25">
      <c r="A13" s="3" t="s">
        <v>41</v>
      </c>
      <c r="B13" s="3" t="s">
        <v>43</v>
      </c>
      <c r="C13" s="3" t="s">
        <v>44</v>
      </c>
      <c r="D13" s="9" t="s">
        <v>45</v>
      </c>
      <c r="E13" s="9" t="s">
        <v>49</v>
      </c>
      <c r="F13" s="9" t="s">
        <v>51</v>
      </c>
      <c r="G13" s="9" t="s">
        <v>50</v>
      </c>
      <c r="H13" s="9"/>
    </row>
    <row r="14" spans="1:12" x14ac:dyDescent="0.25">
      <c r="A14" s="3" t="s">
        <v>42</v>
      </c>
      <c r="B14" s="3" t="s">
        <v>46</v>
      </c>
      <c r="C14" s="3" t="s">
        <v>47</v>
      </c>
      <c r="D14" s="9" t="s">
        <v>48</v>
      </c>
      <c r="E14" s="9" t="s">
        <v>52</v>
      </c>
      <c r="F14" s="9" t="s">
        <v>53</v>
      </c>
      <c r="G14" s="9" t="s">
        <v>54</v>
      </c>
      <c r="H14" s="9"/>
    </row>
    <row r="16" spans="1:12" ht="18" x14ac:dyDescent="0.25">
      <c r="A16" s="1" t="s">
        <v>21</v>
      </c>
      <c r="B16" s="1" t="s">
        <v>17</v>
      </c>
      <c r="C16" s="1" t="s">
        <v>8</v>
      </c>
      <c r="D16" s="1" t="s">
        <v>13</v>
      </c>
      <c r="E16" s="1" t="s">
        <v>6</v>
      </c>
    </row>
    <row r="17" spans="1:8" x14ac:dyDescent="0.25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</row>
    <row r="18" spans="1:8" ht="36.75" x14ac:dyDescent="0.25">
      <c r="A18" s="1" t="s">
        <v>14</v>
      </c>
      <c r="B18" s="1" t="s">
        <v>16</v>
      </c>
      <c r="C18" s="1" t="s">
        <v>15</v>
      </c>
      <c r="D18" s="4" t="s">
        <v>26</v>
      </c>
      <c r="E18" s="4" t="s">
        <v>28</v>
      </c>
      <c r="F18" s="13" t="s">
        <v>27</v>
      </c>
      <c r="G18" s="13"/>
      <c r="H18" s="13"/>
    </row>
    <row r="19" spans="1:8" x14ac:dyDescent="0.25">
      <c r="A19" s="3" t="s">
        <v>56</v>
      </c>
      <c r="B19" s="3" t="s">
        <v>57</v>
      </c>
      <c r="C19" s="3" t="s">
        <v>58</v>
      </c>
      <c r="D19" s="9" t="s">
        <v>59</v>
      </c>
      <c r="E19" s="9" t="s">
        <v>60</v>
      </c>
      <c r="F19" s="9" t="s">
        <v>61</v>
      </c>
      <c r="G19" s="9" t="s">
        <v>62</v>
      </c>
      <c r="H19" s="9"/>
    </row>
    <row r="20" spans="1:8" x14ac:dyDescent="0.25">
      <c r="A20" s="3" t="s">
        <v>63</v>
      </c>
      <c r="B20" s="3" t="s">
        <v>64</v>
      </c>
      <c r="C20" s="3" t="s">
        <v>65</v>
      </c>
      <c r="D20" s="9" t="s">
        <v>66</v>
      </c>
      <c r="E20" s="9" t="s">
        <v>67</v>
      </c>
      <c r="F20" s="9" t="s">
        <v>68</v>
      </c>
      <c r="G20" s="9" t="s">
        <v>69</v>
      </c>
      <c r="H20" s="9"/>
    </row>
    <row r="52" spans="10:10" x14ac:dyDescent="0.25">
      <c r="J52" s="5" t="s">
        <v>0</v>
      </c>
    </row>
  </sheetData>
  <mergeCells count="6">
    <mergeCell ref="B3:F3"/>
    <mergeCell ref="B5:C5"/>
    <mergeCell ref="B7:C7"/>
    <mergeCell ref="F12:H12"/>
    <mergeCell ref="E5:F5"/>
    <mergeCell ref="F18:H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Arboledas</dc:creator>
  <cp:lastModifiedBy>Jose Arboledas</cp:lastModifiedBy>
  <dcterms:created xsi:type="dcterms:W3CDTF">2015-06-05T18:19:34Z</dcterms:created>
  <dcterms:modified xsi:type="dcterms:W3CDTF">2026-05-24T16:45:30Z</dcterms:modified>
</cp:coreProperties>
</file>